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activeTab="1"/>
  </bookViews>
  <sheets>
    <sheet name="Sheet3" sheetId="3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<sst xmlns="http://schemas.openxmlformats.org/spreadsheetml/2006/main" count="72" uniqueCount="45">
  <si>
    <t>QTY SOLD</t>
  </si>
  <si>
    <t>(ALL)</t>
  </si>
  <si>
    <t>Sum of PRICE</t>
  </si>
  <si>
    <t>PRODUCT ID</t>
  </si>
  <si>
    <t>CATEGORY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</si>
  <si>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</si>
  <si>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</si>
  <si>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</si>
  <si>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</si>
  <si>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</si>
  <si>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</si>
  <si>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</si>
  <si>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</si>
  <si>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</si>
  <si>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</si>
  <si>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Grand Total</t>
  </si>
  <si>
    <t>ELECTRONIC</t>
  </si>
  <si>
    <t>FURNITURE</t>
  </si>
  <si>
    <t>STATIONERY</t>
  </si>
  <si>
    <t>SALES &amp; INVENTORY DASHBOARD</t>
  </si>
  <si>
    <t>NAME</t>
  </si>
  <si>
    <t>PRICE</t>
  </si>
  <si>
    <t>STOCK</t>
  </si>
  <si>
    <t>TOTAL SALES</t>
  </si>
  <si>
    <t>STOCK STATUS</t>
  </si>
  <si>
    <t>COMMISSION 5%</t>
  </si>
  <si>
    <t>LAPTOP</t>
  </si>
  <si>
    <t>PHONE</t>
  </si>
  <si>
    <t>PENCIL</t>
  </si>
  <si>
    <t>BOOKS</t>
  </si>
  <si>
    <t>MONITOR</t>
  </si>
  <si>
    <t>TOTAL REVENUE SUMIF</t>
  </si>
  <si>
    <t>ORDERS COUNT COUNTIF</t>
  </si>
  <si>
    <t>LED</t>
  </si>
  <si>
    <t>ELECTRONICS</t>
  </si>
  <si>
    <t>CHAIR</t>
  </si>
  <si>
    <t>TABLE</t>
  </si>
  <si>
    <t>KEYBOARD</t>
  </si>
  <si>
    <t>BAG</t>
  </si>
  <si>
    <t>TOTAL REVENUE</t>
  </si>
  <si>
    <t>AVERAGE SALE</t>
  </si>
  <si>
    <t>HIGHEST SALE</t>
  </si>
  <si>
    <t>LOWEST SALE</t>
  </si>
  <si>
    <t>TOTAL ITEMS</t>
  </si>
  <si>
    <t>TOTAL COMMISSION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</si>
</sst>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 val="double"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3" applyNumberFormat="0" applyFill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25" applyNumberFormat="0" applyAlignment="0" applyProtection="0">
      <alignment vertical="center"/>
    </xf>
    <xf numFmtId="0" fontId="13" fillId="8" borderId="26" applyNumberFormat="0" applyAlignment="0" applyProtection="0">
      <alignment vertical="center"/>
    </xf>
    <xf numFmtId="0" fontId="14" fillId="8" borderId="25" applyNumberFormat="0" applyAlignment="0" applyProtection="0">
      <alignment vertical="center"/>
    </xf>
    <xf numFmtId="0" fontId="15" fillId="9" borderId="27" applyNumberFormat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0" xfId="0" applyNumberFormat="1" applyBorder="1">
      <alignment vertical="center"/>
    </xf>
    <xf numFmtId="0" fontId="2" fillId="3" borderId="11" xfId="0" applyFont="1" applyFill="1" applyBorder="1">
      <alignment vertical="center"/>
    </xf>
    <xf numFmtId="0" fontId="0" fillId="5" borderId="5" xfId="0" applyFill="1" applyBorder="1">
      <alignment vertical="center"/>
    </xf>
    <xf numFmtId="0" fontId="3" fillId="0" borderId="6" xfId="0" applyFont="1" applyBorder="1">
      <alignment vertical="center"/>
    </xf>
    <xf numFmtId="0" fontId="3" fillId="0" borderId="12" xfId="0" applyFont="1" applyBorder="1">
      <alignment vertical="center"/>
    </xf>
    <xf numFmtId="0" fontId="0" fillId="5" borderId="9" xfId="0" applyFill="1" applyBorder="1">
      <alignment vertical="center"/>
    </xf>
    <xf numFmtId="0" fontId="3" fillId="0" borderId="8" xfId="0" applyFont="1" applyBorder="1">
      <alignment vertical="center"/>
    </xf>
    <xf numFmtId="0" fontId="0" fillId="5" borderId="13" xfId="0" applyFill="1" applyBorder="1">
      <alignment vertical="center"/>
    </xf>
    <xf numFmtId="0" fontId="3" fillId="0" borderId="14" xfId="0" applyFont="1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5" xfId="0" applyNumberFormat="1" applyBorder="1">
      <alignment vertical="center"/>
    </xf>
    <xf numFmtId="0" fontId="2" fillId="5" borderId="16" xfId="0" applyFont="1" applyFill="1" applyBorder="1">
      <alignment vertical="center"/>
    </xf>
    <xf numFmtId="0" fontId="3" fillId="3" borderId="17" xfId="0" applyFont="1" applyFill="1" applyBorder="1">
      <alignment vertical="center"/>
    </xf>
    <xf numFmtId="0" fontId="2" fillId="5" borderId="18" xfId="0" applyFont="1" applyFill="1" applyBorder="1">
      <alignment vertical="center"/>
    </xf>
    <xf numFmtId="0" fontId="3" fillId="3" borderId="19" xfId="0" applyFont="1" applyFill="1" applyBorder="1">
      <alignment vertical="center"/>
    </xf>
    <xf numFmtId="0" fontId="2" fillId="5" borderId="20" xfId="0" applyFont="1" applyFill="1" applyBorder="1">
      <alignment vertical="center"/>
    </xf>
    <xf numFmtId="0" fontId="3" fillId="3" borderId="21" xfId="0" applyFont="1" applyFill="1" applyBorder="1">
      <alignment vertical="center"/>
    </xf>
    <xf numFmtId="8" fontId="0" fillId="0" borderId="0" xfId="0" applyNumberFormat="1">
      <alignment vertical="center"/>
    </xf>
    <xf numFmtId="0" fontId="0" fillId="0" borderId="5" xfId="0" applyBorder="1" quotePrefix="1">
      <alignment vertical="center"/>
    </xf>
    <xf numFmtId="0" fontId="0" fillId="0" borderId="9" xfId="0" applyBorder="1" quotePrefix="1">
      <alignment vertical="center"/>
    </xf>
    <xf numFmtId="0" fontId="0" fillId="0" borderId="13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REVENUE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Sheet1!$L$18:$L$23</c:f>
              <c:strCache>
                <c:ptCount val="6"/>
                <c:pt idx="0">
                  <c:v>TOTAL REVENUE</c:v>
                </c:pt>
                <c:pt idx="1">
                  <c:v>AVERAGE SALE</c:v>
                </c:pt>
                <c:pt idx="2">
                  <c:v>HIGHEST SALE</c:v>
                </c:pt>
                <c:pt idx="3">
                  <c:v>LOWEST SALE</c:v>
                </c:pt>
                <c:pt idx="4">
                  <c:v>TOTAL ITEMS</c:v>
                </c:pt>
                <c:pt idx="5">
                  <c:v>TOTAL COMMISSION</c:v>
                </c:pt>
              </c:strCache>
            </c:strRef>
          </c:cat>
          <c:val>
            <c:numRef>
              <c:f>Sheet1!$M$18:$M$23</c:f>
              <c:numCache>
                <c:formatCode>General</c:formatCode>
                <c:ptCount val="6"/>
                <c:pt idx="0">
                  <c:v>970330</c:v>
                </c:pt>
                <c:pt idx="1">
                  <c:v>97033</c:v>
                </c:pt>
                <c:pt idx="2">
                  <c:v>280000</c:v>
                </c:pt>
                <c:pt idx="3">
                  <c:v>630</c:v>
                </c:pt>
                <c:pt idx="4">
                  <c:v>10</c:v>
                </c:pt>
                <c:pt idx="5">
                  <c:v>48516.5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05995263"/>
        <c:axId val="314576222"/>
      </c:lineChart>
      <c:catAx>
        <c:axId val="705995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4576222"/>
        <c:crosses val="autoZero"/>
        <c:auto val="1"/>
        <c:lblAlgn val="ctr"/>
        <c:lblOffset val="100"/>
        <c:noMultiLvlLbl val="0"/>
      </c:catAx>
      <c:valAx>
        <c:axId val="3145762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599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7172cf-6ce0-42a9-b246-31d15066621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777875</xdr:colOff>
      <xdr:row>15</xdr:row>
      <xdr:rowOff>120650</xdr:rowOff>
    </xdr:from>
    <xdr:to>
      <xdr:col>8</xdr:col>
      <xdr:colOff>12700</xdr:colOff>
      <xdr:row>27</xdr:row>
      <xdr:rowOff>168910</xdr:rowOff>
    </xdr:to>
    <xdr:graphicFrame>
      <xdr:nvGraphicFramePr>
        <xdr:cNvPr id="4" name="Chart 3"/>
        <xdr:cNvGraphicFramePr/>
      </xdr:nvGraphicFramePr>
      <xdr:xfrm>
        <a:off x="2254250" y="3035300"/>
        <a:ext cx="4111625" cy="2391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3.5043402778" refreshedBy="CORE COMPUTER" recordCount="10">
  <cacheSource type="worksheet">
    <worksheetSource ref="A4:I14" sheet="Sheet1"/>
  </cacheSource>
  <cacheFields count="9">
    <cacheField name="PRODUCT ID" numFmtId="0">
      <sharedItems count="10">
        <s v="001"/>
        <s v="002"/>
        <s v="003"/>
        <s v="004"/>
        <s v="005"/>
        <s v="006"/>
        <s v="007"/>
        <s v="008"/>
        <s v="009"/>
        <s v="010"/>
      </sharedItems>
    </cacheField>
    <cacheField name="NAME" numFmtId="0">
      <sharedItems count="10">
        <s v="LAPTOP"/>
        <s v="PHONE"/>
        <s v="PENCIL"/>
        <s v="BOOKS"/>
        <s v="MONITOR"/>
        <s v="LED"/>
        <s v="CHAIR"/>
        <s v="TABLE"/>
        <s v="KEYBOARD"/>
        <s v="BAG"/>
      </sharedItems>
    </cacheField>
    <cacheField name="CATEGORY" numFmtId="0">
      <sharedItems count="3">
        <s v="ELECTRONIC"/>
        <s v="STATIONERY"/>
        <s v="FURNITURE"/>
      </sharedItems>
    </cacheField>
    <cacheField name="PRICE" numFmtId="0">
      <sharedItems containsSemiMixedTypes="0" containsString="0" containsNumber="1" containsInteger="1" minValue="0" maxValue="80000" count="10">
        <n v="60000"/>
        <n v="20000"/>
        <n v="90"/>
        <n v="500"/>
        <n v="80000"/>
        <n v="70000"/>
        <n v="5000"/>
        <n v="6000"/>
        <n v="12000"/>
        <n v="1200"/>
      </sharedItems>
    </cacheField>
    <cacheField name="STOCK" numFmtId="0">
      <sharedItems containsSemiMixedTypes="0" containsString="0" containsNumber="1" containsInteger="1" minValue="0" maxValue="30" count="8">
        <n v="10"/>
        <n v="14"/>
        <n v="15"/>
        <n v="29"/>
        <n v="12"/>
        <n v="30"/>
        <n v="13"/>
        <n v="17"/>
      </sharedItems>
    </cacheField>
    <cacheField name="QTY SOLD" numFmtId="0">
      <sharedItems containsSemiMixedTypes="0" containsString="0" containsNumber="1" containsInteger="1" minValue="0" maxValue="9" count="7">
        <n v="3"/>
        <n v="6"/>
        <n v="7"/>
        <n v="9"/>
        <n v="4"/>
        <n v="8"/>
        <n v="5"/>
      </sharedItems>
    </cacheField>
    <cacheField name="TOTAL SALES" numFmtId="0">
      <sharedItems containsSemiMixedTypes="0" containsString="0" containsNumber="1" containsInteger="1" minValue="0" maxValue="280000" count="10">
        <n v="180000"/>
        <n v="120000"/>
        <n v="630"/>
        <n v="4500"/>
        <n v="240000"/>
        <n v="280000"/>
        <n v="30000"/>
        <n v="48000"/>
        <n v="60000"/>
        <n v="7200"/>
      </sharedItems>
    </cacheField>
    <cacheField name="STOCK STATUS" numFmtId="0">
      <sharedItems count="2">
        <s v="REORDER"/>
        <s v="ENOUGH"/>
      </sharedItems>
    </cacheField>
    <cacheField name="COMMISSION 5%" numFmtId="0">
      <sharedItems containsSemiMixedTypes="0" containsString="0" containsNumber="1" minValue="0" maxValue="14000" count="10">
        <n v="9000"/>
        <n v="6000"/>
        <n v="31.5"/>
        <n v="225"/>
        <n v="12000"/>
        <n v="14000"/>
        <n v="1500"/>
        <n v="2400"/>
        <n v="3000"/>
        <n v="36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  <x v="0"/>
  </r>
  <r>
    <x v="1"/>
    <x v="1"/>
    <x v="0"/>
    <x v="1"/>
    <x v="1"/>
    <x v="1"/>
    <x v="1"/>
    <x v="0"/>
    <x v="1"/>
  </r>
  <r>
    <x v="2"/>
    <x v="2"/>
    <x v="1"/>
    <x v="2"/>
    <x v="2"/>
    <x v="2"/>
    <x v="2"/>
    <x v="0"/>
    <x v="2"/>
  </r>
  <r>
    <x v="3"/>
    <x v="3"/>
    <x v="1"/>
    <x v="3"/>
    <x v="3"/>
    <x v="3"/>
    <x v="3"/>
    <x v="1"/>
    <x v="3"/>
  </r>
  <r>
    <x v="4"/>
    <x v="4"/>
    <x v="0"/>
    <x v="4"/>
    <x v="0"/>
    <x v="0"/>
    <x v="4"/>
    <x v="0"/>
    <x v="4"/>
  </r>
  <r>
    <x v="5"/>
    <x v="5"/>
    <x v="0"/>
    <x v="5"/>
    <x v="4"/>
    <x v="4"/>
    <x v="5"/>
    <x v="0"/>
    <x v="5"/>
  </r>
  <r>
    <x v="6"/>
    <x v="6"/>
    <x v="2"/>
    <x v="6"/>
    <x v="5"/>
    <x v="1"/>
    <x v="6"/>
    <x v="1"/>
    <x v="6"/>
  </r>
  <r>
    <x v="7"/>
    <x v="7"/>
    <x v="2"/>
    <x v="7"/>
    <x v="5"/>
    <x v="5"/>
    <x v="7"/>
    <x v="1"/>
    <x v="7"/>
  </r>
  <r>
    <x v="8"/>
    <x v="8"/>
    <x v="0"/>
    <x v="8"/>
    <x v="6"/>
    <x v="6"/>
    <x v="8"/>
    <x v="0"/>
    <x v="8"/>
  </r>
  <r>
    <x v="9"/>
    <x v="9"/>
    <x v="1"/>
    <x v="9"/>
    <x v="7"/>
    <x v="1"/>
    <x v="9"/>
    <x v="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L8" firstHeaderRow="1" firstDataRow="2" firstDataCol="1" rowPageCount="1" colPageCount="1"/>
  <pivotFields count="9">
    <pivotField axis="axisCol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dataField="1" compact="0" showAll="0">
      <items count="11">
        <item x="2"/>
        <item x="3"/>
        <item x="9"/>
        <item x="6"/>
        <item x="7"/>
        <item x="8"/>
        <item x="1"/>
        <item x="0"/>
        <item x="5"/>
        <item x="4"/>
        <item t="default"/>
      </items>
    </pivotField>
    <pivotField compact="0" showAll="0"/>
    <pivotField axis="axisPage" compact="0" showAll="0">
      <items count="8">
        <item x="0"/>
        <item x="4"/>
        <item x="6"/>
        <item x="1"/>
        <item x="2"/>
        <item x="5"/>
        <item x="3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5"/>
  </pageFields>
  <dataFields count="1">
    <dataField name="Sum of PRICE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L2" sqref="L1:P2"/>
    </sheetView>
  </sheetViews>
  <sheetFormatPr defaultColWidth="9.14285714285714" defaultRowHeight="15" outlineLevelRow="7"/>
  <cols>
    <col min="1" max="1" width="13.5714285714286"/>
    <col min="2" max="11" width="14.5714285714286"/>
    <col min="12" max="12" width="11.8571428571429"/>
  </cols>
  <sheetData>
    <row r="1" spans="1:12">
      <c r="A1" t="s">
        <v>0</v>
      </c>
      <c r="B1" t="s">
        <v>1</v>
      </c>
    </row>
    <row r="3" spans="1:12">
      <c r="A3" t="s">
        <v>2</v>
      </c>
      <c r="B3" t="s">
        <v>3</v>
      </c>
    </row>
    <row r="4" spans="1:1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</row>
    <row r="5" spans="1:12">
      <c r="A5" t="s">
        <v>16</v>
      </c>
      <c r="B5">
        <v>60000</v>
      </c>
      <c r="C5">
        <v>20000</v>
      </c>
      <c r="F5">
        <v>80000</v>
      </c>
      <c r="G5">
        <v>70000</v>
      </c>
      <c r="J5">
        <v>12000</v>
      </c>
      <c r="L5">
        <v>242000</v>
      </c>
    </row>
    <row r="6" spans="1:12">
      <c r="A6" t="s">
        <v>17</v>
      </c>
      <c r="H6">
        <v>5000</v>
      </c>
      <c r="I6">
        <v>6000</v>
      </c>
      <c r="L6">
        <v>11000</v>
      </c>
    </row>
    <row r="7" spans="1:12">
      <c r="A7" t="s">
        <v>18</v>
      </c>
      <c r="D7">
        <v>90</v>
      </c>
      <c r="E7">
        <v>500</v>
      </c>
      <c r="K7">
        <v>1200</v>
      </c>
      <c r="L7">
        <v>1790</v>
      </c>
    </row>
    <row r="8" spans="1:12">
      <c r="A8" t="s">
        <v>15</v>
      </c>
      <c r="B8">
        <v>60000</v>
      </c>
      <c r="C8">
        <v>20000</v>
      </c>
      <c r="D8">
        <v>90</v>
      </c>
      <c r="E8">
        <v>500</v>
      </c>
      <c r="F8">
        <v>80000</v>
      </c>
      <c r="G8">
        <v>70000</v>
      </c>
      <c r="H8">
        <v>5000</v>
      </c>
      <c r="I8">
        <v>6000</v>
      </c>
      <c r="J8">
        <v>12000</v>
      </c>
      <c r="K8">
        <v>1200</v>
      </c>
      <c r="L8">
        <v>254790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workbookViewId="0">
      <selection activeCell="L5" sqref="L5"/>
    </sheetView>
  </sheetViews>
  <sheetFormatPr defaultColWidth="9.14285714285714" defaultRowHeight="15"/>
  <cols>
    <col min="1" max="1" width="12" customWidth="1"/>
    <col min="2" max="2" width="10.1428571428571" customWidth="1"/>
    <col min="3" max="3" width="12.7142857142857" customWidth="1"/>
    <col min="4" max="4" width="11.2857142857143"/>
    <col min="7" max="7" width="11.5714285714286" customWidth="1"/>
    <col min="8" max="8" width="19.2857142857143" customWidth="1"/>
    <col min="9" max="9" width="16" customWidth="1"/>
    <col min="10" max="10" width="12.2857142857143" customWidth="1"/>
    <col min="11" max="11" width="16" customWidth="1"/>
    <col min="12" max="12" width="23.7142857142857" customWidth="1"/>
    <col min="13" max="13" width="24.1428571428571" customWidth="1"/>
    <col min="14" max="14" width="21.2857142857143" customWidth="1"/>
    <col min="15" max="15" width="22.5714285714286" customWidth="1"/>
  </cols>
  <sheetData>
    <row r="1" spans="1:13">
      <c r="A1" s="1" t="s">
        <v>19</v>
      </c>
      <c r="B1" s="2"/>
      <c r="C1" s="2"/>
      <c r="D1" s="2"/>
      <c r="E1" s="2"/>
      <c r="F1" s="2"/>
      <c r="G1" s="2"/>
      <c r="H1" s="2"/>
      <c r="I1" s="2"/>
    </row>
    <row r="2" spans="1:13">
      <c r="A2" s="2"/>
      <c r="B2" s="2"/>
      <c r="C2" s="2"/>
      <c r="D2" s="2"/>
      <c r="E2" s="2"/>
      <c r="F2" s="2"/>
      <c r="G2" s="2"/>
      <c r="H2" s="2"/>
      <c r="I2" s="2"/>
    </row>
    <row r="3" ht="15.75"/>
    <row r="4" ht="15.75" spans="1:13">
      <c r="A4" s="3" t="s">
        <v>3</v>
      </c>
      <c r="B4" s="4" t="s">
        <v>20</v>
      </c>
      <c r="C4" s="5" t="s">
        <v>4</v>
      </c>
      <c r="D4" s="5" t="s">
        <v>21</v>
      </c>
      <c r="E4" s="5" t="s">
        <v>22</v>
      </c>
      <c r="F4" s="5" t="s">
        <v>0</v>
      </c>
      <c r="G4" s="5" t="s">
        <v>23</v>
      </c>
      <c r="H4" s="6" t="s">
        <v>24</v>
      </c>
      <c r="I4" s="7" t="s">
        <v>25</v>
      </c>
    </row>
    <row r="5" spans="1:13">
      <c r="A5" s="34" t="s">
        <v>5</v>
      </c>
      <c r="B5" s="9" t="s">
        <v>26</v>
      </c>
      <c r="C5" s="9" t="s">
        <v>16</v>
      </c>
      <c r="D5" s="10">
        <v>60000</v>
      </c>
      <c r="E5" s="9">
        <v>10</v>
      </c>
      <c r="F5" s="9">
        <v>3</v>
      </c>
      <c r="G5" s="9">
        <f>D5*F5</f>
        <v>180000</v>
      </c>
      <c r="H5" s="11" t="str">
        <f>IF(E5&gt;20,"ENOUGH","REORDER")</f>
        <v>REORDER</v>
      </c>
      <c r="I5" s="12">
        <f>G5*5%</f>
        <v>9000</v>
      </c>
    </row>
    <row r="6" spans="1:13">
      <c r="A6" s="35" t="s">
        <v>6</v>
      </c>
      <c r="B6" s="14" t="s">
        <v>27</v>
      </c>
      <c r="C6" s="14" t="s">
        <v>16</v>
      </c>
      <c r="D6" s="15">
        <v>20000</v>
      </c>
      <c r="E6" s="14">
        <v>14</v>
      </c>
      <c r="F6" s="14">
        <v>6</v>
      </c>
      <c r="G6" s="14">
        <f t="shared" ref="G6:G14" si="0">D6*F6</f>
        <v>120000</v>
      </c>
      <c r="H6" s="11" t="str">
        <f t="shared" ref="H6:H14" si="1">IF(E6&gt;20,"ENOUGH","REORDER")</f>
        <v>REORDER</v>
      </c>
      <c r="I6" s="12">
        <f t="shared" ref="I6:I14" si="2">G6*5%</f>
        <v>6000</v>
      </c>
    </row>
    <row r="7" spans="1:13">
      <c r="A7" s="35" t="s">
        <v>7</v>
      </c>
      <c r="B7" s="14" t="s">
        <v>28</v>
      </c>
      <c r="C7" s="14" t="s">
        <v>18</v>
      </c>
      <c r="D7" s="15">
        <v>90</v>
      </c>
      <c r="E7" s="14">
        <v>15</v>
      </c>
      <c r="F7" s="14">
        <v>7</v>
      </c>
      <c r="G7" s="14">
        <f t="shared" si="0"/>
        <v>630</v>
      </c>
      <c r="H7" s="11" t="str">
        <f t="shared" si="1"/>
        <v>REORDER</v>
      </c>
      <c r="I7" s="12">
        <f t="shared" si="2"/>
        <v>31.5</v>
      </c>
    </row>
    <row r="8" ht="15.75" spans="1:13">
      <c r="A8" s="35" t="s">
        <v>8</v>
      </c>
      <c r="B8" s="14" t="s">
        <v>29</v>
      </c>
      <c r="C8" s="14" t="s">
        <v>18</v>
      </c>
      <c r="D8" s="15">
        <v>500</v>
      </c>
      <c r="E8" s="14">
        <v>29</v>
      </c>
      <c r="F8" s="14">
        <v>9</v>
      </c>
      <c r="G8" s="14">
        <f t="shared" si="0"/>
        <v>4500</v>
      </c>
      <c r="H8" s="11" t="str">
        <f t="shared" si="1"/>
        <v>ENOUGH</v>
      </c>
      <c r="I8" s="12">
        <f t="shared" si="2"/>
        <v>225</v>
      </c>
    </row>
    <row r="9" ht="15.75" spans="1:13">
      <c r="A9" s="35" t="s">
        <v>9</v>
      </c>
      <c r="B9" s="14" t="s">
        <v>30</v>
      </c>
      <c r="C9" s="14" t="s">
        <v>16</v>
      </c>
      <c r="D9" s="15">
        <v>80000</v>
      </c>
      <c r="E9" s="14">
        <v>10</v>
      </c>
      <c r="F9" s="14">
        <v>3</v>
      </c>
      <c r="G9" s="14">
        <f t="shared" si="0"/>
        <v>240000</v>
      </c>
      <c r="H9" s="11" t="str">
        <f t="shared" si="1"/>
        <v>REORDER</v>
      </c>
      <c r="I9" s="12">
        <f t="shared" si="2"/>
        <v>12000</v>
      </c>
      <c r="K9" s="3" t="s">
        <v>4</v>
      </c>
      <c r="L9" s="5" t="s">
        <v>31</v>
      </c>
      <c r="M9" s="16" t="s">
        <v>32</v>
      </c>
    </row>
    <row r="10" spans="1:13">
      <c r="A10" s="35" t="s">
        <v>10</v>
      </c>
      <c r="B10" s="14" t="s">
        <v>33</v>
      </c>
      <c r="C10" s="14" t="s">
        <v>16</v>
      </c>
      <c r="D10" s="15">
        <v>70000</v>
      </c>
      <c r="E10" s="14">
        <v>12</v>
      </c>
      <c r="F10" s="14">
        <v>4</v>
      </c>
      <c r="G10" s="14">
        <f t="shared" si="0"/>
        <v>280000</v>
      </c>
      <c r="H10" s="11" t="str">
        <f t="shared" si="1"/>
        <v>REORDER</v>
      </c>
      <c r="I10" s="12">
        <f t="shared" si="2"/>
        <v>14000</v>
      </c>
      <c r="K10" s="17" t="s">
        <v>34</v>
      </c>
      <c r="L10" s="18">
        <f>SUMIF(C5:C14,"ELECTRONIC",G5:G14)</f>
        <v>880000</v>
      </c>
      <c r="M10" s="19">
        <f>COUNTIF(C5:C14,"ELECTRONIC")</f>
        <v>5</v>
      </c>
    </row>
    <row r="11" spans="1:13">
      <c r="A11" s="35" t="s">
        <v>11</v>
      </c>
      <c r="B11" s="14" t="s">
        <v>35</v>
      </c>
      <c r="C11" s="14" t="s">
        <v>17</v>
      </c>
      <c r="D11" s="15">
        <v>5000</v>
      </c>
      <c r="E11" s="14">
        <v>30</v>
      </c>
      <c r="F11" s="14">
        <v>6</v>
      </c>
      <c r="G11" s="14">
        <f t="shared" si="0"/>
        <v>30000</v>
      </c>
      <c r="H11" s="11" t="str">
        <f t="shared" si="1"/>
        <v>ENOUGH</v>
      </c>
      <c r="I11" s="12">
        <f t="shared" si="2"/>
        <v>1500</v>
      </c>
      <c r="K11" s="20" t="s">
        <v>18</v>
      </c>
      <c r="L11" s="18">
        <f>SUMIF(C6:C15,"ELECTRONIC",G6:G15)</f>
        <v>700000</v>
      </c>
      <c r="M11" s="21">
        <f>COUNTIF(C5:C14,"STATIONIORY")</f>
        <v>0</v>
      </c>
    </row>
    <row r="12" ht="15.75" spans="1:13">
      <c r="A12" s="35" t="s">
        <v>12</v>
      </c>
      <c r="B12" s="14" t="s">
        <v>36</v>
      </c>
      <c r="C12" s="14" t="s">
        <v>17</v>
      </c>
      <c r="D12" s="15">
        <v>6000</v>
      </c>
      <c r="E12" s="14">
        <v>30</v>
      </c>
      <c r="F12" s="14">
        <v>8</v>
      </c>
      <c r="G12" s="14">
        <f t="shared" si="0"/>
        <v>48000</v>
      </c>
      <c r="H12" s="11" t="str">
        <f t="shared" si="1"/>
        <v>ENOUGH</v>
      </c>
      <c r="I12" s="12">
        <f t="shared" si="2"/>
        <v>2400</v>
      </c>
      <c r="K12" s="22" t="s">
        <v>17</v>
      </c>
      <c r="L12" s="18">
        <f>SUMIF(C7:C16,"ELECTRONIC",G7:G16)</f>
        <v>580000</v>
      </c>
      <c r="M12" s="23">
        <v>2</v>
      </c>
    </row>
    <row r="13" spans="1:13">
      <c r="A13" s="35" t="s">
        <v>13</v>
      </c>
      <c r="B13" s="14" t="s">
        <v>37</v>
      </c>
      <c r="C13" s="14" t="s">
        <v>16</v>
      </c>
      <c r="D13" s="15">
        <v>12000</v>
      </c>
      <c r="E13" s="14">
        <v>13</v>
      </c>
      <c r="F13" s="14">
        <v>5</v>
      </c>
      <c r="G13" s="14">
        <f t="shared" si="0"/>
        <v>60000</v>
      </c>
      <c r="H13" s="11" t="str">
        <f t="shared" si="1"/>
        <v>REORDER</v>
      </c>
      <c r="I13" s="12">
        <f t="shared" si="2"/>
        <v>3000</v>
      </c>
    </row>
    <row r="14" ht="15.75" spans="1:13">
      <c r="A14" s="36" t="s">
        <v>14</v>
      </c>
      <c r="B14" s="25" t="s">
        <v>38</v>
      </c>
      <c r="C14" s="25" t="s">
        <v>18</v>
      </c>
      <c r="D14" s="26">
        <v>1200</v>
      </c>
      <c r="E14" s="25">
        <v>17</v>
      </c>
      <c r="F14" s="25">
        <v>6</v>
      </c>
      <c r="G14" s="25">
        <f t="shared" si="0"/>
        <v>7200</v>
      </c>
      <c r="H14" s="11" t="str">
        <f t="shared" si="1"/>
        <v>REORDER</v>
      </c>
      <c r="I14" s="12">
        <f t="shared" si="2"/>
        <v>360</v>
      </c>
    </row>
    <row r="17" ht="15.75"/>
    <row r="18" ht="15.75" spans="5:13">
      <c r="L18" s="27" t="s">
        <v>39</v>
      </c>
      <c r="M18" s="28">
        <f>SUM(G5:G14)</f>
        <v>970330</v>
      </c>
    </row>
    <row r="19" ht="15.75" spans="5:13">
      <c r="L19" s="27" t="s">
        <v>40</v>
      </c>
      <c r="M19" s="28">
        <f>AVERAGE(G5:G14)</f>
        <v>97033</v>
      </c>
    </row>
    <row r="20" ht="15.75" spans="5:13">
      <c r="L20" s="27" t="s">
        <v>41</v>
      </c>
      <c r="M20" s="28">
        <f>MAX(G5:G14)</f>
        <v>280000</v>
      </c>
    </row>
    <row r="21" spans="5:13">
      <c r="L21" s="29" t="s">
        <v>42</v>
      </c>
      <c r="M21" s="30">
        <f>MIN(G5:G14)</f>
        <v>630</v>
      </c>
    </row>
    <row r="22" ht="15.75" spans="5:13">
      <c r="L22" s="31" t="s">
        <v>43</v>
      </c>
      <c r="M22" s="32">
        <f>COUNT(G5:G14)</f>
        <v>10</v>
      </c>
    </row>
    <row r="23" ht="15.75" spans="5:13">
      <c r="L23" s="27" t="s">
        <v>44</v>
      </c>
      <c r="M23" s="28">
        <f>SUM(I5:I14)</f>
        <v>48516.5</v>
      </c>
    </row>
    <row r="24" spans="5:13">
      <c r="E24" s="33"/>
    </row>
  </sheetData>
  <mergeCells count="1">
    <mergeCell ref="A1:I2"/>
  </mergeCells>
  <conditionalFormatting sqref="H5:H14">
    <cfRule type="cellIs" dxfId="0" priority="2" operator="equal">
      <formula>"ENOUGH"</formula>
    </cfRule>
    <cfRule type="cellIs" dxfId="1" priority="1" operator="equal">
      <formula>"REORDER"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COMPUTER</dc:creator>
  <cp:lastModifiedBy>WPS_1779710807</cp:lastModifiedBy>
  <dcterms:created xsi:type="dcterms:W3CDTF">2026-05-25T12:23:00Z</dcterms:created>
  <dcterms:modified xsi:type="dcterms:W3CDTF">2026-06-19T15:53:16Z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07414D17088C4DC89B63F86D0ABCBFB0_13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